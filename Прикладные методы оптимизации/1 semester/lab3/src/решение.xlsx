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743131b54279e5/Документы/Уник/Флешка/оптимизация/3/"/>
    </mc:Choice>
  </mc:AlternateContent>
  <xr:revisionPtr revIDLastSave="204" documentId="11_AD4DF75460589B3ACB728463C75E66DE5ADEDDA5" xr6:coauthVersionLast="47" xr6:coauthVersionMax="47" xr10:uidLastSave="{E67A2EFA-9436-4A4F-90DD-4917BF0CECDE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G31" i="1"/>
  <c r="H31" i="1"/>
  <c r="I31" i="1"/>
  <c r="J31" i="1"/>
  <c r="K31" i="1"/>
  <c r="L31" i="1"/>
  <c r="F31" i="1"/>
  <c r="C31" i="1"/>
  <c r="D31" i="1"/>
  <c r="E31" i="1"/>
  <c r="B31" i="1"/>
  <c r="D30" i="1"/>
  <c r="C30" i="1"/>
  <c r="E30" i="1"/>
  <c r="F30" i="1"/>
  <c r="G30" i="1"/>
  <c r="H30" i="1"/>
  <c r="I30" i="1"/>
  <c r="J30" i="1"/>
  <c r="K30" i="1"/>
  <c r="L30" i="1"/>
  <c r="B30" i="1"/>
  <c r="Q26" i="1"/>
  <c r="Q25" i="1"/>
  <c r="Q24" i="1"/>
  <c r="Q2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C23" i="1"/>
  <c r="D23" i="1"/>
  <c r="E23" i="1"/>
  <c r="F23" i="1"/>
  <c r="G23" i="1"/>
  <c r="H23" i="1"/>
  <c r="I23" i="1"/>
  <c r="J23" i="1"/>
  <c r="K23" i="1"/>
  <c r="L23" i="1"/>
  <c r="B23" i="1"/>
  <c r="C26" i="1"/>
  <c r="D26" i="1"/>
  <c r="E26" i="1"/>
  <c r="F26" i="1"/>
  <c r="G26" i="1"/>
  <c r="H26" i="1"/>
  <c r="I26" i="1"/>
  <c r="J26" i="1"/>
  <c r="K26" i="1"/>
  <c r="L26" i="1"/>
  <c r="B26" i="1"/>
  <c r="P17" i="1"/>
  <c r="P19" i="1" s="1"/>
  <c r="P16" i="1"/>
  <c r="B19" i="1"/>
  <c r="C19" i="1"/>
  <c r="D19" i="1"/>
  <c r="E19" i="1"/>
  <c r="F19" i="1"/>
  <c r="G19" i="1"/>
  <c r="H19" i="1"/>
  <c r="I19" i="1"/>
  <c r="J19" i="1"/>
  <c r="K19" i="1"/>
  <c r="L19" i="1"/>
  <c r="C18" i="1"/>
  <c r="D18" i="1"/>
  <c r="E18" i="1"/>
  <c r="F18" i="1"/>
  <c r="G18" i="1"/>
  <c r="H18" i="1"/>
  <c r="I18" i="1"/>
  <c r="J18" i="1"/>
  <c r="K18" i="1"/>
  <c r="L18" i="1"/>
  <c r="B18" i="1"/>
  <c r="C16" i="1"/>
  <c r="D16" i="1"/>
  <c r="E16" i="1"/>
  <c r="F16" i="1"/>
  <c r="G16" i="1"/>
  <c r="H16" i="1"/>
  <c r="I16" i="1"/>
  <c r="J16" i="1"/>
  <c r="K16" i="1"/>
  <c r="L16" i="1"/>
  <c r="B16" i="1"/>
  <c r="C17" i="1"/>
  <c r="D17" i="1"/>
  <c r="E17" i="1"/>
  <c r="F17" i="1"/>
  <c r="G17" i="1"/>
  <c r="H17" i="1"/>
  <c r="I17" i="1"/>
  <c r="J17" i="1"/>
  <c r="K17" i="1"/>
  <c r="L17" i="1"/>
  <c r="B17" i="1"/>
  <c r="P12" i="1"/>
  <c r="P11" i="1"/>
  <c r="P10" i="1"/>
  <c r="P9" i="1"/>
  <c r="Q11" i="1"/>
  <c r="Q10" i="1"/>
  <c r="Q9" i="1"/>
  <c r="C13" i="1"/>
  <c r="C20" i="1" s="1"/>
  <c r="D13" i="1"/>
  <c r="D20" i="1" s="1"/>
  <c r="D27" i="1" s="1"/>
  <c r="E13" i="1"/>
  <c r="E20" i="1" s="1"/>
  <c r="E27" i="1" s="1"/>
  <c r="F13" i="1"/>
  <c r="F20" i="1" s="1"/>
  <c r="F27" i="1" s="1"/>
  <c r="G13" i="1"/>
  <c r="G20" i="1" s="1"/>
  <c r="G27" i="1" s="1"/>
  <c r="H13" i="1"/>
  <c r="H20" i="1" s="1"/>
  <c r="H27" i="1" s="1"/>
  <c r="I13" i="1"/>
  <c r="I20" i="1" s="1"/>
  <c r="I27" i="1" s="1"/>
  <c r="J13" i="1"/>
  <c r="J20" i="1" s="1"/>
  <c r="J27" i="1" s="1"/>
  <c r="K13" i="1"/>
  <c r="K20" i="1" s="1"/>
  <c r="K27" i="1" s="1"/>
  <c r="L13" i="1"/>
  <c r="L20" i="1" s="1"/>
  <c r="L27" i="1" s="1"/>
  <c r="B6" i="1"/>
  <c r="B13" i="1" s="1"/>
  <c r="B20" i="1" s="1"/>
  <c r="B27" i="1" s="1"/>
  <c r="C6" i="1"/>
  <c r="D6" i="1"/>
  <c r="E6" i="1"/>
  <c r="F6" i="1"/>
  <c r="G6" i="1"/>
  <c r="L6" i="1"/>
  <c r="C12" i="1"/>
  <c r="D12" i="1"/>
  <c r="E12" i="1"/>
  <c r="F12" i="1"/>
  <c r="G12" i="1"/>
  <c r="H12" i="1"/>
  <c r="I12" i="1"/>
  <c r="J12" i="1"/>
  <c r="K12" i="1"/>
  <c r="L12" i="1"/>
  <c r="B12" i="1"/>
  <c r="C10" i="1"/>
  <c r="D10" i="1"/>
  <c r="E10" i="1"/>
  <c r="F10" i="1"/>
  <c r="G10" i="1"/>
  <c r="H10" i="1"/>
  <c r="I10" i="1"/>
  <c r="J10" i="1"/>
  <c r="K10" i="1"/>
  <c r="L10" i="1"/>
  <c r="B10" i="1"/>
  <c r="C9" i="1"/>
  <c r="D9" i="1"/>
  <c r="E9" i="1"/>
  <c r="F9" i="1"/>
  <c r="G9" i="1"/>
  <c r="H9" i="1"/>
  <c r="I9" i="1"/>
  <c r="J9" i="1"/>
  <c r="K9" i="1"/>
  <c r="L9" i="1"/>
  <c r="B9" i="1"/>
  <c r="C11" i="1"/>
  <c r="D11" i="1"/>
  <c r="E11" i="1"/>
  <c r="F11" i="1"/>
  <c r="G11" i="1"/>
  <c r="H11" i="1"/>
  <c r="I11" i="1"/>
  <c r="J11" i="1"/>
  <c r="K11" i="1"/>
  <c r="L11" i="1"/>
  <c r="B11" i="1"/>
  <c r="Q3" i="1"/>
  <c r="Q4" i="1"/>
  <c r="Q5" i="1"/>
  <c r="Q2" i="1"/>
  <c r="C27" i="1" l="1"/>
  <c r="P18" i="1"/>
  <c r="Q19" i="1"/>
  <c r="Q18" i="1"/>
  <c r="Q17" i="1"/>
  <c r="Q16" i="1"/>
  <c r="Q12" i="1"/>
</calcChain>
</file>

<file path=xl/sharedStrings.xml><?xml version="1.0" encoding="utf-8"?>
<sst xmlns="http://schemas.openxmlformats.org/spreadsheetml/2006/main" count="118" uniqueCount="15">
  <si>
    <t>Базис</t>
  </si>
  <si>
    <t>x1</t>
  </si>
  <si>
    <t>x2</t>
  </si>
  <si>
    <t>s1</t>
  </si>
  <si>
    <t>s2</t>
  </si>
  <si>
    <t>s3</t>
  </si>
  <si>
    <t>s4</t>
  </si>
  <si>
    <t>a1</t>
  </si>
  <si>
    <t>a2</t>
  </si>
  <si>
    <t>a3</t>
  </si>
  <si>
    <t>a4</t>
  </si>
  <si>
    <t>Решение</t>
  </si>
  <si>
    <t>Отношение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</si>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</sst>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1" xfId="0" quotePrefix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A10" workbookViewId="0">
      <selection activeCell="H37" sqref="H37"/>
    </sheetView>
  </sheetViews>
  <sheetFormatPr defaultRowHeight="15" x14ac:dyDescent="0.25"/>
  <sheetData>
    <row r="1" spans="1:19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0</v>
      </c>
      <c r="O1" s="1" t="s">
        <v>1</v>
      </c>
      <c r="P1" s="1" t="s">
        <v>11</v>
      </c>
      <c r="Q1" s="1" t="s">
        <v>12</v>
      </c>
    </row>
    <row r="2" spans="1:19" x14ac:dyDescent="0.25">
      <c r="A2" s="1" t="s">
        <v>7</v>
      </c>
      <c r="B2" s="3">
        <v>2</v>
      </c>
      <c r="C2" s="1">
        <v>-1</v>
      </c>
      <c r="D2" s="1">
        <v>-1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6</v>
      </c>
      <c r="N2" s="1" t="s">
        <v>7</v>
      </c>
      <c r="O2" s="1">
        <v>2</v>
      </c>
      <c r="P2" s="1">
        <v>6</v>
      </c>
      <c r="Q2" s="1">
        <f>P2/O2</f>
        <v>3</v>
      </c>
      <c r="S2" t="s">
        <v>14</v>
      </c>
    </row>
    <row r="3" spans="1:19" x14ac:dyDescent="0.25">
      <c r="A3" s="1" t="s">
        <v>8</v>
      </c>
      <c r="B3" s="3">
        <v>1</v>
      </c>
      <c r="C3" s="1">
        <v>2</v>
      </c>
      <c r="D3" s="1">
        <v>0</v>
      </c>
      <c r="E3" s="1">
        <v>-1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5</v>
      </c>
      <c r="N3" s="1" t="s">
        <v>8</v>
      </c>
      <c r="O3" s="1">
        <v>1</v>
      </c>
      <c r="P3" s="1">
        <v>5</v>
      </c>
      <c r="Q3" s="1">
        <f t="shared" ref="Q3:Q5" si="0">P3/O3</f>
        <v>5</v>
      </c>
      <c r="S3">
        <v>1000</v>
      </c>
    </row>
    <row r="4" spans="1:19" x14ac:dyDescent="0.25">
      <c r="A4" s="3" t="s">
        <v>9</v>
      </c>
      <c r="B4" s="3">
        <v>4</v>
      </c>
      <c r="C4" s="3">
        <v>1</v>
      </c>
      <c r="D4" s="3">
        <v>0</v>
      </c>
      <c r="E4" s="3">
        <v>0</v>
      </c>
      <c r="F4" s="3">
        <v>-1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8</v>
      </c>
      <c r="N4" s="1" t="s">
        <v>9</v>
      </c>
      <c r="O4" s="1">
        <v>4</v>
      </c>
      <c r="P4" s="1">
        <v>8</v>
      </c>
      <c r="Q4" s="1">
        <f t="shared" si="0"/>
        <v>2</v>
      </c>
    </row>
    <row r="5" spans="1:19" x14ac:dyDescent="0.25">
      <c r="A5" s="1" t="s">
        <v>10</v>
      </c>
      <c r="B5" s="3">
        <v>-1</v>
      </c>
      <c r="C5" s="1">
        <v>2</v>
      </c>
      <c r="D5" s="1">
        <v>0</v>
      </c>
      <c r="E5" s="1">
        <v>0</v>
      </c>
      <c r="F5" s="1">
        <v>0</v>
      </c>
      <c r="G5" s="1">
        <v>-1</v>
      </c>
      <c r="H5" s="1">
        <v>0</v>
      </c>
      <c r="I5" s="1">
        <v>0</v>
      </c>
      <c r="J5" s="1">
        <v>0</v>
      </c>
      <c r="K5" s="1">
        <v>1</v>
      </c>
      <c r="L5" s="1">
        <v>6</v>
      </c>
      <c r="N5" s="1" t="s">
        <v>10</v>
      </c>
      <c r="O5" s="1">
        <v>-1</v>
      </c>
      <c r="P5" s="1">
        <v>6</v>
      </c>
      <c r="Q5" s="1">
        <f t="shared" si="0"/>
        <v>-6</v>
      </c>
    </row>
    <row r="6" spans="1:19" x14ac:dyDescent="0.25">
      <c r="A6" s="1" t="s">
        <v>13</v>
      </c>
      <c r="B6" s="4">
        <f>-6*$S$3-2</f>
        <v>-6002</v>
      </c>
      <c r="C6" s="2">
        <f>-4*$S$3-5</f>
        <v>-4005</v>
      </c>
      <c r="D6" s="1">
        <f t="shared" ref="D6:F6" si="1">$S$3</f>
        <v>1000</v>
      </c>
      <c r="E6" s="1">
        <f t="shared" si="1"/>
        <v>1000</v>
      </c>
      <c r="F6" s="1">
        <f t="shared" si="1"/>
        <v>1000</v>
      </c>
      <c r="G6" s="1">
        <f>$S$3</f>
        <v>1000</v>
      </c>
      <c r="H6" s="1">
        <v>0</v>
      </c>
      <c r="I6" s="1">
        <v>0</v>
      </c>
      <c r="J6" s="1">
        <v>0</v>
      </c>
      <c r="K6" s="1">
        <v>0</v>
      </c>
      <c r="L6" s="2">
        <f>-25*$S$3</f>
        <v>-25000</v>
      </c>
    </row>
    <row r="8" spans="1:19" x14ac:dyDescent="0.25">
      <c r="A8" s="5" t="s">
        <v>0</v>
      </c>
      <c r="B8" s="5" t="s">
        <v>1</v>
      </c>
      <c r="C8" s="3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N8" s="1" t="s">
        <v>0</v>
      </c>
      <c r="O8" s="1" t="s">
        <v>2</v>
      </c>
      <c r="P8" s="1" t="s">
        <v>11</v>
      </c>
      <c r="Q8" s="1" t="s">
        <v>12</v>
      </c>
    </row>
    <row r="9" spans="1:19" x14ac:dyDescent="0.25">
      <c r="A9" s="5" t="s">
        <v>7</v>
      </c>
      <c r="B9" s="5">
        <f>B2-$B2*B$11</f>
        <v>0</v>
      </c>
      <c r="C9" s="3">
        <f t="shared" ref="C9:L9" si="2">C2-$B2*C$11</f>
        <v>-1.5</v>
      </c>
      <c r="D9" s="5">
        <f t="shared" si="2"/>
        <v>-1</v>
      </c>
      <c r="E9" s="5">
        <f t="shared" si="2"/>
        <v>0</v>
      </c>
      <c r="F9" s="5">
        <f t="shared" si="2"/>
        <v>0.5</v>
      </c>
      <c r="G9" s="5">
        <f t="shared" si="2"/>
        <v>0</v>
      </c>
      <c r="H9" s="5">
        <f t="shared" si="2"/>
        <v>1</v>
      </c>
      <c r="I9" s="5">
        <f t="shared" si="2"/>
        <v>0</v>
      </c>
      <c r="J9" s="5">
        <f t="shared" si="2"/>
        <v>-0.5</v>
      </c>
      <c r="K9" s="5">
        <f t="shared" si="2"/>
        <v>0</v>
      </c>
      <c r="L9" s="5">
        <f t="shared" si="2"/>
        <v>2</v>
      </c>
      <c r="N9" s="1" t="s">
        <v>7</v>
      </c>
      <c r="O9" s="1">
        <v>-1.5</v>
      </c>
      <c r="P9" s="5">
        <f t="shared" ref="P9" si="3">P2-$B2*P$11</f>
        <v>2</v>
      </c>
      <c r="Q9" s="1">
        <f>P9/O9</f>
        <v>-1.3333333333333333</v>
      </c>
    </row>
    <row r="10" spans="1:19" x14ac:dyDescent="0.25">
      <c r="A10" s="3" t="s">
        <v>8</v>
      </c>
      <c r="B10" s="3">
        <f>B3-$B3*B$11</f>
        <v>0</v>
      </c>
      <c r="C10" s="3">
        <f t="shared" ref="C10:L10" si="4">C3-$B3*C$11</f>
        <v>1.75</v>
      </c>
      <c r="D10" s="3">
        <f t="shared" si="4"/>
        <v>0</v>
      </c>
      <c r="E10" s="3">
        <f t="shared" si="4"/>
        <v>-1</v>
      </c>
      <c r="F10" s="3">
        <f t="shared" si="4"/>
        <v>0.25</v>
      </c>
      <c r="G10" s="3">
        <f t="shared" si="4"/>
        <v>0</v>
      </c>
      <c r="H10" s="3">
        <f t="shared" si="4"/>
        <v>0</v>
      </c>
      <c r="I10" s="3">
        <f t="shared" si="4"/>
        <v>1</v>
      </c>
      <c r="J10" s="3">
        <f t="shared" si="4"/>
        <v>-0.25</v>
      </c>
      <c r="K10" s="3">
        <f t="shared" si="4"/>
        <v>0</v>
      </c>
      <c r="L10" s="3">
        <f t="shared" si="4"/>
        <v>3</v>
      </c>
      <c r="N10" s="1" t="s">
        <v>8</v>
      </c>
      <c r="O10" s="1">
        <v>1.75</v>
      </c>
      <c r="P10" s="5">
        <f t="shared" ref="P10" si="5">P3-$B3*P$11</f>
        <v>3</v>
      </c>
      <c r="Q10" s="1">
        <f t="shared" ref="Q10:Q12" si="6">P10/O10</f>
        <v>1.7142857142857142</v>
      </c>
    </row>
    <row r="11" spans="1:19" x14ac:dyDescent="0.25">
      <c r="A11" s="5" t="s">
        <v>1</v>
      </c>
      <c r="B11" s="5">
        <f>B4/$B$4</f>
        <v>1</v>
      </c>
      <c r="C11" s="3">
        <f t="shared" ref="C11:L11" si="7">C4/$B$4</f>
        <v>0.25</v>
      </c>
      <c r="D11" s="5">
        <f t="shared" si="7"/>
        <v>0</v>
      </c>
      <c r="E11" s="5">
        <f t="shared" si="7"/>
        <v>0</v>
      </c>
      <c r="F11" s="5">
        <f t="shared" si="7"/>
        <v>-0.25</v>
      </c>
      <c r="G11" s="5">
        <f t="shared" si="7"/>
        <v>0</v>
      </c>
      <c r="H11" s="5">
        <f t="shared" si="7"/>
        <v>0</v>
      </c>
      <c r="I11" s="5">
        <f t="shared" si="7"/>
        <v>0</v>
      </c>
      <c r="J11" s="5">
        <f t="shared" si="7"/>
        <v>0.25</v>
      </c>
      <c r="K11" s="5">
        <f t="shared" si="7"/>
        <v>0</v>
      </c>
      <c r="L11" s="5">
        <f t="shared" si="7"/>
        <v>2</v>
      </c>
      <c r="N11" s="1" t="s">
        <v>9</v>
      </c>
      <c r="O11" s="1">
        <v>0.25</v>
      </c>
      <c r="P11" s="5">
        <f t="shared" ref="P11" si="8">P4/$B$4</f>
        <v>2</v>
      </c>
      <c r="Q11" s="1">
        <f t="shared" si="6"/>
        <v>8</v>
      </c>
    </row>
    <row r="12" spans="1:19" x14ac:dyDescent="0.25">
      <c r="A12" s="5" t="s">
        <v>10</v>
      </c>
      <c r="B12" s="5">
        <f>B5-$B5*B$11</f>
        <v>0</v>
      </c>
      <c r="C12" s="3">
        <f t="shared" ref="C12:L12" si="9">C5-$B5*C$11</f>
        <v>2.25</v>
      </c>
      <c r="D12" s="5">
        <f t="shared" si="9"/>
        <v>0</v>
      </c>
      <c r="E12" s="5">
        <f t="shared" si="9"/>
        <v>0</v>
      </c>
      <c r="F12" s="5">
        <f t="shared" si="9"/>
        <v>-0.25</v>
      </c>
      <c r="G12" s="5">
        <f t="shared" si="9"/>
        <v>-1</v>
      </c>
      <c r="H12" s="5">
        <f t="shared" si="9"/>
        <v>0</v>
      </c>
      <c r="I12" s="5">
        <f t="shared" si="9"/>
        <v>0</v>
      </c>
      <c r="J12" s="5">
        <f t="shared" si="9"/>
        <v>0.25</v>
      </c>
      <c r="K12" s="5">
        <f t="shared" si="9"/>
        <v>1</v>
      </c>
      <c r="L12" s="5">
        <f t="shared" si="9"/>
        <v>8</v>
      </c>
      <c r="N12" s="1" t="s">
        <v>10</v>
      </c>
      <c r="O12" s="1">
        <v>2.25</v>
      </c>
      <c r="P12" s="5">
        <f t="shared" ref="P12" si="10">P5-$B5*P$11</f>
        <v>8</v>
      </c>
      <c r="Q12" s="1">
        <f t="shared" si="6"/>
        <v>3.5555555555555554</v>
      </c>
    </row>
    <row r="13" spans="1:19" x14ac:dyDescent="0.25">
      <c r="A13" s="5" t="s">
        <v>13</v>
      </c>
      <c r="B13" s="5">
        <f>B6-$B6*B$11</f>
        <v>0</v>
      </c>
      <c r="C13" s="3">
        <f t="shared" ref="C13:L13" si="11">C6-$B6*C$11</f>
        <v>-2504.5</v>
      </c>
      <c r="D13" s="5">
        <f t="shared" si="11"/>
        <v>1000</v>
      </c>
      <c r="E13" s="5">
        <f t="shared" si="11"/>
        <v>1000</v>
      </c>
      <c r="F13" s="5">
        <f t="shared" si="11"/>
        <v>-500.5</v>
      </c>
      <c r="G13" s="5">
        <f t="shared" si="11"/>
        <v>1000</v>
      </c>
      <c r="H13" s="5">
        <f t="shared" si="11"/>
        <v>0</v>
      </c>
      <c r="I13" s="5">
        <f t="shared" si="11"/>
        <v>0</v>
      </c>
      <c r="J13" s="5">
        <f t="shared" si="11"/>
        <v>1500.5</v>
      </c>
      <c r="K13" s="5">
        <f t="shared" si="11"/>
        <v>0</v>
      </c>
      <c r="L13" s="5">
        <f t="shared" si="11"/>
        <v>-12996</v>
      </c>
    </row>
    <row r="15" spans="1:19" x14ac:dyDescent="0.25">
      <c r="A15" s="5" t="s">
        <v>0</v>
      </c>
      <c r="B15" s="5" t="s">
        <v>1</v>
      </c>
      <c r="C15" s="5" t="s">
        <v>2</v>
      </c>
      <c r="D15" s="5" t="s">
        <v>3</v>
      </c>
      <c r="E15" s="3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N15" s="1" t="s">
        <v>0</v>
      </c>
      <c r="O15" s="1" t="s">
        <v>4</v>
      </c>
      <c r="P15" s="1" t="s">
        <v>11</v>
      </c>
      <c r="Q15" s="1" t="s">
        <v>12</v>
      </c>
    </row>
    <row r="16" spans="1:19" x14ac:dyDescent="0.25">
      <c r="A16" s="5" t="s">
        <v>7</v>
      </c>
      <c r="B16" s="5">
        <f>B9-$C9*B$17</f>
        <v>0</v>
      </c>
      <c r="C16" s="5">
        <f t="shared" ref="C16:L16" si="12">C9-$C9*C$17</f>
        <v>0</v>
      </c>
      <c r="D16" s="5">
        <f t="shared" si="12"/>
        <v>-1</v>
      </c>
      <c r="E16" s="3">
        <f t="shared" si="12"/>
        <v>-0.8571428571428571</v>
      </c>
      <c r="F16" s="5">
        <f t="shared" si="12"/>
        <v>0.7142857142857143</v>
      </c>
      <c r="G16" s="5">
        <f t="shared" si="12"/>
        <v>0</v>
      </c>
      <c r="H16" s="5">
        <f t="shared" si="12"/>
        <v>1</v>
      </c>
      <c r="I16" s="5">
        <f t="shared" si="12"/>
        <v>0.8571428571428571</v>
      </c>
      <c r="J16" s="5">
        <f t="shared" si="12"/>
        <v>-0.7142857142857143</v>
      </c>
      <c r="K16" s="5">
        <f t="shared" si="12"/>
        <v>0</v>
      </c>
      <c r="L16" s="5">
        <f t="shared" si="12"/>
        <v>4.5714285714285712</v>
      </c>
      <c r="N16" s="1" t="s">
        <v>7</v>
      </c>
      <c r="O16" s="1">
        <v>-0.8571428571428571</v>
      </c>
      <c r="P16" s="5">
        <f t="shared" ref="P16" si="13">P9-$C9*P$17</f>
        <v>4.5714285714285712</v>
      </c>
      <c r="Q16" s="1">
        <f>P16/O16</f>
        <v>-5.333333333333333</v>
      </c>
    </row>
    <row r="17" spans="1:17" x14ac:dyDescent="0.25">
      <c r="A17" s="5" t="s">
        <v>2</v>
      </c>
      <c r="B17" s="5">
        <f>B10/$C$10</f>
        <v>0</v>
      </c>
      <c r="C17" s="5">
        <f t="shared" ref="C17:L17" si="14">C10/$C$10</f>
        <v>1</v>
      </c>
      <c r="D17" s="5">
        <f t="shared" si="14"/>
        <v>0</v>
      </c>
      <c r="E17" s="3">
        <f t="shared" si="14"/>
        <v>-0.5714285714285714</v>
      </c>
      <c r="F17" s="5">
        <f t="shared" si="14"/>
        <v>0.14285714285714285</v>
      </c>
      <c r="G17" s="5">
        <f t="shared" si="14"/>
        <v>0</v>
      </c>
      <c r="H17" s="5">
        <f t="shared" si="14"/>
        <v>0</v>
      </c>
      <c r="I17" s="5">
        <f t="shared" si="14"/>
        <v>0.5714285714285714</v>
      </c>
      <c r="J17" s="5">
        <f t="shared" si="14"/>
        <v>-0.14285714285714285</v>
      </c>
      <c r="K17" s="5">
        <f t="shared" si="14"/>
        <v>0</v>
      </c>
      <c r="L17" s="5">
        <f t="shared" si="14"/>
        <v>1.7142857142857142</v>
      </c>
      <c r="N17" s="1" t="s">
        <v>8</v>
      </c>
      <c r="O17" s="1">
        <v>-0.5714285714285714</v>
      </c>
      <c r="P17" s="5">
        <f t="shared" ref="P17" si="15">P10/$C$10</f>
        <v>1.7142857142857142</v>
      </c>
      <c r="Q17" s="1">
        <f t="shared" ref="Q17:Q19" si="16">P17/O17</f>
        <v>-3</v>
      </c>
    </row>
    <row r="18" spans="1:17" x14ac:dyDescent="0.25">
      <c r="A18" s="5" t="s">
        <v>1</v>
      </c>
      <c r="B18" s="5">
        <f>B11-$C11*B$17</f>
        <v>1</v>
      </c>
      <c r="C18" s="5">
        <f t="shared" ref="C18:L18" si="17">C11-$C11*C$17</f>
        <v>0</v>
      </c>
      <c r="D18" s="5">
        <f t="shared" si="17"/>
        <v>0</v>
      </c>
      <c r="E18" s="3">
        <f t="shared" si="17"/>
        <v>0.14285714285714285</v>
      </c>
      <c r="F18" s="5">
        <f t="shared" si="17"/>
        <v>-0.2857142857142857</v>
      </c>
      <c r="G18" s="5">
        <f t="shared" si="17"/>
        <v>0</v>
      </c>
      <c r="H18" s="5">
        <f t="shared" si="17"/>
        <v>0</v>
      </c>
      <c r="I18" s="5">
        <f t="shared" si="17"/>
        <v>-0.14285714285714285</v>
      </c>
      <c r="J18" s="5">
        <f t="shared" si="17"/>
        <v>0.2857142857142857</v>
      </c>
      <c r="K18" s="5">
        <f t="shared" si="17"/>
        <v>0</v>
      </c>
      <c r="L18" s="5">
        <f t="shared" si="17"/>
        <v>1.5714285714285714</v>
      </c>
      <c r="N18" s="1" t="s">
        <v>9</v>
      </c>
      <c r="O18" s="1">
        <v>0.14285714285714285</v>
      </c>
      <c r="P18" s="5">
        <f t="shared" ref="P18" si="18">P11-$C11*P$17</f>
        <v>1.5714285714285714</v>
      </c>
      <c r="Q18" s="1">
        <f t="shared" si="16"/>
        <v>11</v>
      </c>
    </row>
    <row r="19" spans="1:17" x14ac:dyDescent="0.25">
      <c r="A19" s="3" t="s">
        <v>10</v>
      </c>
      <c r="B19" s="3">
        <f t="shared" ref="B19:L19" si="19">B12-$C12*B$17</f>
        <v>0</v>
      </c>
      <c r="C19" s="3">
        <f t="shared" si="19"/>
        <v>0</v>
      </c>
      <c r="D19" s="3">
        <f t="shared" si="19"/>
        <v>0</v>
      </c>
      <c r="E19" s="3">
        <f t="shared" si="19"/>
        <v>1.2857142857142856</v>
      </c>
      <c r="F19" s="3">
        <f t="shared" si="19"/>
        <v>-0.5714285714285714</v>
      </c>
      <c r="G19" s="3">
        <f t="shared" si="19"/>
        <v>-1</v>
      </c>
      <c r="H19" s="3">
        <f t="shared" si="19"/>
        <v>0</v>
      </c>
      <c r="I19" s="3">
        <f t="shared" si="19"/>
        <v>-1.2857142857142856</v>
      </c>
      <c r="J19" s="3">
        <f t="shared" si="19"/>
        <v>0.5714285714285714</v>
      </c>
      <c r="K19" s="3">
        <f t="shared" si="19"/>
        <v>1</v>
      </c>
      <c r="L19" s="3">
        <f t="shared" si="19"/>
        <v>4.1428571428571432</v>
      </c>
      <c r="N19" s="1" t="s">
        <v>10</v>
      </c>
      <c r="O19" s="1">
        <v>1.2857142857142856</v>
      </c>
      <c r="P19" s="5">
        <f t="shared" ref="P19" si="20">P12-$C12*P$17</f>
        <v>4.1428571428571432</v>
      </c>
      <c r="Q19" s="1">
        <f t="shared" si="16"/>
        <v>3.2222222222222228</v>
      </c>
    </row>
    <row r="20" spans="1:17" x14ac:dyDescent="0.25">
      <c r="A20" s="5" t="s">
        <v>13</v>
      </c>
      <c r="B20" s="5">
        <f t="shared" ref="B20:L20" si="21">B13-$C13*B$17</f>
        <v>0</v>
      </c>
      <c r="C20" s="5">
        <f t="shared" si="21"/>
        <v>0</v>
      </c>
      <c r="D20" s="5">
        <f t="shared" si="21"/>
        <v>1000</v>
      </c>
      <c r="E20" s="3">
        <f t="shared" si="21"/>
        <v>-431.14285714285711</v>
      </c>
      <c r="F20" s="5">
        <f t="shared" si="21"/>
        <v>-142.71428571428572</v>
      </c>
      <c r="G20" s="5">
        <f t="shared" si="21"/>
        <v>1000</v>
      </c>
      <c r="H20" s="5">
        <f t="shared" si="21"/>
        <v>0</v>
      </c>
      <c r="I20" s="5">
        <f t="shared" si="21"/>
        <v>1431.1428571428571</v>
      </c>
      <c r="J20" s="5">
        <f t="shared" si="21"/>
        <v>1142.7142857142858</v>
      </c>
      <c r="K20" s="5">
        <f t="shared" si="21"/>
        <v>0</v>
      </c>
      <c r="L20" s="5">
        <f t="shared" si="21"/>
        <v>-8702.5714285714275</v>
      </c>
    </row>
    <row r="22" spans="1:17" x14ac:dyDescent="0.25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3" t="s">
        <v>5</v>
      </c>
      <c r="G22" s="5" t="s">
        <v>6</v>
      </c>
      <c r="H22" s="5" t="s">
        <v>7</v>
      </c>
      <c r="I22" s="5" t="s">
        <v>8</v>
      </c>
      <c r="J22" s="5" t="s">
        <v>9</v>
      </c>
      <c r="K22" s="5" t="s">
        <v>10</v>
      </c>
      <c r="L22" s="5" t="s">
        <v>11</v>
      </c>
      <c r="N22" s="1" t="s">
        <v>0</v>
      </c>
      <c r="O22" s="1" t="s">
        <v>5</v>
      </c>
      <c r="P22" s="1" t="s">
        <v>11</v>
      </c>
      <c r="Q22" s="1" t="s">
        <v>12</v>
      </c>
    </row>
    <row r="23" spans="1:17" x14ac:dyDescent="0.25">
      <c r="A23" s="3" t="s">
        <v>7</v>
      </c>
      <c r="B23" s="3">
        <f>B16-$E16*B$26</f>
        <v>0</v>
      </c>
      <c r="C23" s="3">
        <f t="shared" ref="C23:L23" si="22">C16-$E16*C$26</f>
        <v>0</v>
      </c>
      <c r="D23" s="3">
        <f t="shared" si="22"/>
        <v>-1</v>
      </c>
      <c r="E23" s="3">
        <f t="shared" si="22"/>
        <v>0</v>
      </c>
      <c r="F23" s="3">
        <f t="shared" si="22"/>
        <v>0.33333333333333337</v>
      </c>
      <c r="G23" s="3">
        <f t="shared" si="22"/>
        <v>-0.66666666666666674</v>
      </c>
      <c r="H23" s="3">
        <f t="shared" si="22"/>
        <v>1</v>
      </c>
      <c r="I23" s="3">
        <f t="shared" si="22"/>
        <v>0</v>
      </c>
      <c r="J23" s="3">
        <f t="shared" si="22"/>
        <v>-0.33333333333333337</v>
      </c>
      <c r="K23" s="3">
        <f t="shared" si="22"/>
        <v>0.66666666666666674</v>
      </c>
      <c r="L23" s="3">
        <f t="shared" si="22"/>
        <v>7.3333333333333339</v>
      </c>
      <c r="N23" s="1" t="s">
        <v>7</v>
      </c>
      <c r="O23" s="1">
        <v>0.33333333333333337</v>
      </c>
      <c r="P23" s="5">
        <v>7.3333333333333339</v>
      </c>
      <c r="Q23" s="1">
        <f>P23/O23</f>
        <v>22</v>
      </c>
    </row>
    <row r="24" spans="1:17" x14ac:dyDescent="0.25">
      <c r="A24" s="5" t="s">
        <v>2</v>
      </c>
      <c r="B24" s="5">
        <f t="shared" ref="B24:L24" si="23">B17-$E17*B$26</f>
        <v>0</v>
      </c>
      <c r="C24" s="5">
        <f t="shared" si="23"/>
        <v>1</v>
      </c>
      <c r="D24" s="5">
        <f t="shared" si="23"/>
        <v>0</v>
      </c>
      <c r="E24" s="5">
        <f t="shared" si="23"/>
        <v>0</v>
      </c>
      <c r="F24" s="3">
        <f t="shared" si="23"/>
        <v>-0.1111111111111111</v>
      </c>
      <c r="G24" s="5">
        <f t="shared" si="23"/>
        <v>-0.44444444444444448</v>
      </c>
      <c r="H24" s="5">
        <f t="shared" si="23"/>
        <v>0</v>
      </c>
      <c r="I24" s="5">
        <f t="shared" si="23"/>
        <v>0</v>
      </c>
      <c r="J24" s="5">
        <f t="shared" si="23"/>
        <v>0.1111111111111111</v>
      </c>
      <c r="K24" s="5">
        <f t="shared" si="23"/>
        <v>0.44444444444444448</v>
      </c>
      <c r="L24" s="5">
        <f t="shared" si="23"/>
        <v>3.5555555555555554</v>
      </c>
      <c r="N24" s="1" t="s">
        <v>8</v>
      </c>
      <c r="O24" s="1">
        <v>-0.1111111111111111</v>
      </c>
      <c r="P24" s="5">
        <v>3.5555555555555554</v>
      </c>
      <c r="Q24" s="1">
        <f t="shared" ref="Q24:Q26" si="24">P24/O24</f>
        <v>-32</v>
      </c>
    </row>
    <row r="25" spans="1:17" x14ac:dyDescent="0.25">
      <c r="A25" s="5" t="s">
        <v>1</v>
      </c>
      <c r="B25" s="5">
        <f t="shared" ref="B25:L25" si="25">B18-$E18*B$26</f>
        <v>1</v>
      </c>
      <c r="C25" s="5">
        <f t="shared" si="25"/>
        <v>0</v>
      </c>
      <c r="D25" s="5">
        <f t="shared" si="25"/>
        <v>0</v>
      </c>
      <c r="E25" s="5">
        <f t="shared" si="25"/>
        <v>0</v>
      </c>
      <c r="F25" s="3">
        <f t="shared" si="25"/>
        <v>-0.22222222222222221</v>
      </c>
      <c r="G25" s="5">
        <f t="shared" si="25"/>
        <v>0.11111111111111112</v>
      </c>
      <c r="H25" s="5">
        <f t="shared" si="25"/>
        <v>0</v>
      </c>
      <c r="I25" s="5">
        <f t="shared" si="25"/>
        <v>0</v>
      </c>
      <c r="J25" s="5">
        <f t="shared" si="25"/>
        <v>0.22222222222222221</v>
      </c>
      <c r="K25" s="5">
        <f t="shared" si="25"/>
        <v>-0.11111111111111112</v>
      </c>
      <c r="L25" s="5">
        <f t="shared" si="25"/>
        <v>1.1111111111111112</v>
      </c>
      <c r="N25" s="1" t="s">
        <v>9</v>
      </c>
      <c r="O25" s="1">
        <v>-0.22222222222222221</v>
      </c>
      <c r="P25" s="5">
        <v>1.1111111111111112</v>
      </c>
      <c r="Q25" s="1">
        <f t="shared" si="24"/>
        <v>-5.0000000000000009</v>
      </c>
    </row>
    <row r="26" spans="1:17" x14ac:dyDescent="0.25">
      <c r="A26" s="5" t="s">
        <v>4</v>
      </c>
      <c r="B26" s="5">
        <f>B19/$E$19</f>
        <v>0</v>
      </c>
      <c r="C26" s="5">
        <f t="shared" ref="C26:L26" si="26">C19/$E$19</f>
        <v>0</v>
      </c>
      <c r="D26" s="5">
        <f t="shared" si="26"/>
        <v>0</v>
      </c>
      <c r="E26" s="5">
        <f t="shared" si="26"/>
        <v>1</v>
      </c>
      <c r="F26" s="3">
        <f t="shared" si="26"/>
        <v>-0.44444444444444448</v>
      </c>
      <c r="G26" s="5">
        <f t="shared" si="26"/>
        <v>-0.7777777777777779</v>
      </c>
      <c r="H26" s="5">
        <f t="shared" si="26"/>
        <v>0</v>
      </c>
      <c r="I26" s="5">
        <f t="shared" si="26"/>
        <v>-1</v>
      </c>
      <c r="J26" s="5">
        <f t="shared" si="26"/>
        <v>0.44444444444444448</v>
      </c>
      <c r="K26" s="5">
        <f t="shared" si="26"/>
        <v>0.7777777777777779</v>
      </c>
      <c r="L26" s="5">
        <f t="shared" si="26"/>
        <v>3.2222222222222228</v>
      </c>
      <c r="N26" s="1" t="s">
        <v>10</v>
      </c>
      <c r="O26" s="1">
        <v>-0.44444444444444448</v>
      </c>
      <c r="P26" s="5">
        <v>3.2222222222222228</v>
      </c>
      <c r="Q26" s="1">
        <f t="shared" si="24"/>
        <v>-7.2500000000000009</v>
      </c>
    </row>
    <row r="27" spans="1:17" x14ac:dyDescent="0.25">
      <c r="A27" s="5" t="s">
        <v>13</v>
      </c>
      <c r="B27" s="5">
        <f>B20-$E20*B$26</f>
        <v>0</v>
      </c>
      <c r="C27" s="5">
        <f t="shared" ref="C27:L27" si="27">C20-$E20*C$26</f>
        <v>0</v>
      </c>
      <c r="D27" s="5">
        <f t="shared" si="27"/>
        <v>1000</v>
      </c>
      <c r="E27" s="5">
        <f t="shared" si="27"/>
        <v>0</v>
      </c>
      <c r="F27" s="3">
        <f t="shared" si="27"/>
        <v>-334.33333333333337</v>
      </c>
      <c r="G27" s="5">
        <f t="shared" si="27"/>
        <v>664.66666666666663</v>
      </c>
      <c r="H27" s="5">
        <f t="shared" si="27"/>
        <v>0</v>
      </c>
      <c r="I27" s="5">
        <f t="shared" si="27"/>
        <v>1000</v>
      </c>
      <c r="J27" s="5">
        <f t="shared" si="27"/>
        <v>1334.3333333333335</v>
      </c>
      <c r="K27" s="5">
        <f t="shared" si="27"/>
        <v>335.33333333333337</v>
      </c>
      <c r="L27" s="5">
        <f t="shared" si="27"/>
        <v>-7313.3333333333321</v>
      </c>
    </row>
    <row r="29" spans="1:17" x14ac:dyDescent="0.25">
      <c r="A29" s="5" t="s">
        <v>0</v>
      </c>
      <c r="B29" s="5" t="s">
        <v>1</v>
      </c>
      <c r="C29" s="5" t="s">
        <v>2</v>
      </c>
      <c r="D29" s="6" t="s">
        <v>3</v>
      </c>
      <c r="E29" s="5" t="s">
        <v>4</v>
      </c>
      <c r="F29" s="5" t="s">
        <v>5</v>
      </c>
      <c r="G29" s="7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</row>
    <row r="30" spans="1:17" x14ac:dyDescent="0.25">
      <c r="A30" s="5" t="s">
        <v>5</v>
      </c>
      <c r="B30" s="5">
        <f>B23/$F$23</f>
        <v>0</v>
      </c>
      <c r="C30" s="5">
        <f t="shared" ref="C30:L30" si="28">C23/$F$23</f>
        <v>0</v>
      </c>
      <c r="D30" s="6">
        <f>D23/$F$23</f>
        <v>-2.9999999999999996</v>
      </c>
      <c r="E30" s="5">
        <f t="shared" si="28"/>
        <v>0</v>
      </c>
      <c r="F30" s="5">
        <f t="shared" si="28"/>
        <v>1</v>
      </c>
      <c r="G30" s="7">
        <f t="shared" si="28"/>
        <v>-2</v>
      </c>
      <c r="H30" s="5">
        <f t="shared" si="28"/>
        <v>2.9999999999999996</v>
      </c>
      <c r="I30" s="5">
        <f t="shared" si="28"/>
        <v>0</v>
      </c>
      <c r="J30" s="5">
        <f t="shared" si="28"/>
        <v>-1</v>
      </c>
      <c r="K30" s="5">
        <f t="shared" si="28"/>
        <v>2</v>
      </c>
      <c r="L30" s="5">
        <f t="shared" si="28"/>
        <v>22</v>
      </c>
    </row>
    <row r="31" spans="1:17" x14ac:dyDescent="0.25">
      <c r="A31" s="5" t="s">
        <v>2</v>
      </c>
      <c r="B31" s="5">
        <f>B24-$F24*B$30</f>
        <v>0</v>
      </c>
      <c r="C31" s="5">
        <f t="shared" ref="C31:E31" si="29">C24-$F24*C$30</f>
        <v>1</v>
      </c>
      <c r="D31" s="6">
        <f t="shared" si="29"/>
        <v>-0.33333333333333326</v>
      </c>
      <c r="E31" s="5">
        <f t="shared" si="29"/>
        <v>0</v>
      </c>
      <c r="F31" s="5">
        <f>F24-$F24*F$30</f>
        <v>0</v>
      </c>
      <c r="G31" s="7">
        <f t="shared" ref="G31:L31" si="30">G24-$F24*G$30</f>
        <v>-0.66666666666666674</v>
      </c>
      <c r="H31" s="5">
        <f t="shared" si="30"/>
        <v>0.33333333333333326</v>
      </c>
      <c r="I31" s="5">
        <f t="shared" si="30"/>
        <v>0</v>
      </c>
      <c r="J31" s="5">
        <f t="shared" si="30"/>
        <v>0</v>
      </c>
      <c r="K31" s="5">
        <f t="shared" si="30"/>
        <v>0.66666666666666674</v>
      </c>
      <c r="L31" s="5">
        <f t="shared" si="30"/>
        <v>6</v>
      </c>
    </row>
    <row r="32" spans="1:17" x14ac:dyDescent="0.25">
      <c r="A32" s="5" t="s">
        <v>1</v>
      </c>
      <c r="B32" s="5">
        <f t="shared" ref="B32:L32" si="31">B25-$F25*B$30</f>
        <v>1</v>
      </c>
      <c r="C32" s="5">
        <f t="shared" si="31"/>
        <v>0</v>
      </c>
      <c r="D32" s="6">
        <f t="shared" si="31"/>
        <v>-0.66666666666666652</v>
      </c>
      <c r="E32" s="5">
        <f t="shared" si="31"/>
        <v>0</v>
      </c>
      <c r="F32" s="5">
        <f t="shared" si="31"/>
        <v>0</v>
      </c>
      <c r="G32" s="7">
        <f t="shared" si="31"/>
        <v>-0.33333333333333331</v>
      </c>
      <c r="H32" s="5">
        <f t="shared" si="31"/>
        <v>0.66666666666666652</v>
      </c>
      <c r="I32" s="5">
        <f t="shared" si="31"/>
        <v>0</v>
      </c>
      <c r="J32" s="5">
        <f t="shared" si="31"/>
        <v>0</v>
      </c>
      <c r="K32" s="5">
        <f t="shared" si="31"/>
        <v>0.33333333333333331</v>
      </c>
      <c r="L32" s="5">
        <f t="shared" si="31"/>
        <v>6</v>
      </c>
    </row>
    <row r="33" spans="1:12" x14ac:dyDescent="0.25">
      <c r="A33" s="5" t="s">
        <v>4</v>
      </c>
      <c r="B33" s="5">
        <f t="shared" ref="B33:L33" si="32">B26-$F26*B$30</f>
        <v>0</v>
      </c>
      <c r="C33" s="5">
        <f t="shared" si="32"/>
        <v>0</v>
      </c>
      <c r="D33" s="6">
        <f t="shared" si="32"/>
        <v>-1.3333333333333333</v>
      </c>
      <c r="E33" s="5">
        <f t="shared" si="32"/>
        <v>1</v>
      </c>
      <c r="F33" s="5">
        <f t="shared" si="32"/>
        <v>0</v>
      </c>
      <c r="G33" s="7">
        <f t="shared" si="32"/>
        <v>-1.666666666666667</v>
      </c>
      <c r="H33" s="5">
        <f t="shared" si="32"/>
        <v>1.3333333333333333</v>
      </c>
      <c r="I33" s="5">
        <f t="shared" si="32"/>
        <v>-1</v>
      </c>
      <c r="J33" s="5">
        <f t="shared" si="32"/>
        <v>0</v>
      </c>
      <c r="K33" s="5">
        <f t="shared" si="32"/>
        <v>1.666666666666667</v>
      </c>
      <c r="L33" s="5">
        <f t="shared" si="32"/>
        <v>13.000000000000002</v>
      </c>
    </row>
    <row r="34" spans="1:12" x14ac:dyDescent="0.25">
      <c r="A34" s="5" t="s">
        <v>13</v>
      </c>
      <c r="B34" s="5">
        <f t="shared" ref="B34:L34" si="33">B27-$F27*B$30</f>
        <v>0</v>
      </c>
      <c r="C34" s="5">
        <f t="shared" si="33"/>
        <v>0</v>
      </c>
      <c r="D34" s="6">
        <f t="shared" si="33"/>
        <v>-3</v>
      </c>
      <c r="E34" s="5">
        <f t="shared" si="33"/>
        <v>0</v>
      </c>
      <c r="F34" s="5">
        <f t="shared" si="33"/>
        <v>0</v>
      </c>
      <c r="G34" s="7">
        <f t="shared" si="33"/>
        <v>-4.0000000000001137</v>
      </c>
      <c r="H34" s="5">
        <f t="shared" si="33"/>
        <v>1003</v>
      </c>
      <c r="I34" s="5">
        <f t="shared" si="33"/>
        <v>1000</v>
      </c>
      <c r="J34" s="5">
        <f t="shared" si="33"/>
        <v>1000.0000000000001</v>
      </c>
      <c r="K34" s="5">
        <f t="shared" si="33"/>
        <v>1004.0000000000001</v>
      </c>
      <c r="L34" s="5">
        <f t="shared" si="33"/>
        <v>42.000000000001819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Ворошилов</dc:creator>
  <cp:lastModifiedBy>Даниил Ворошилов</cp:lastModifiedBy>
  <dcterms:created xsi:type="dcterms:W3CDTF">2015-06-05T18:19:34Z</dcterms:created>
  <dcterms:modified xsi:type="dcterms:W3CDTF">2025-10-04T13:25:12Z</dcterms:modified>
</cp:coreProperties>
</file>