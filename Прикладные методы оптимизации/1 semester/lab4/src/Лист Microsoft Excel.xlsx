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f743131b54279e5/Документы/Уник/Флешка/оптимизация/4/"/>
    </mc:Choice>
  </mc:AlternateContent>
  <xr:revisionPtr revIDLastSave="208" documentId="11_AD4DF75460589B3ACB728463C75E66DE5ADEDDA5" xr6:coauthVersionLast="47" xr6:coauthVersionMax="47" xr10:uidLastSave="{7A6C0452-A753-4C38-B1E7-B83F6AF194DA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" l="1"/>
  <c r="N29" i="1"/>
  <c r="M29" i="1"/>
  <c r="M27" i="1"/>
  <c r="K29" i="1"/>
  <c r="L28" i="1"/>
  <c r="K28" i="1"/>
  <c r="J27" i="1"/>
  <c r="M26" i="1"/>
  <c r="I28" i="1"/>
  <c r="J26" i="1"/>
  <c r="I29" i="1"/>
  <c r="N26" i="1"/>
  <c r="L26" i="1"/>
  <c r="K26" i="1"/>
  <c r="J28" i="1"/>
  <c r="M28" i="1"/>
  <c r="J29" i="1"/>
  <c r="L29" i="1"/>
  <c r="N27" i="1"/>
  <c r="K27" i="1"/>
  <c r="L27" i="1"/>
  <c r="N18" i="1"/>
  <c r="L18" i="1"/>
  <c r="I20" i="1" s="1"/>
  <c r="K18" i="1"/>
  <c r="J20" i="1"/>
  <c r="L20" i="1"/>
  <c r="M20" i="1"/>
  <c r="J21" i="1"/>
  <c r="K19" i="1"/>
  <c r="L19" i="1"/>
  <c r="N19" i="1"/>
  <c r="G31" i="1"/>
  <c r="R10" i="1"/>
  <c r="Q10" i="1"/>
  <c r="G23" i="1"/>
  <c r="O14" i="1"/>
  <c r="G14" i="1"/>
  <c r="G6" i="1"/>
  <c r="H5" i="1"/>
  <c r="J18" i="1" l="1"/>
  <c r="M18" i="1"/>
  <c r="K20" i="1"/>
  <c r="N20" i="1"/>
  <c r="J19" i="1" l="1"/>
  <c r="I21" i="1"/>
  <c r="M19" i="1"/>
  <c r="K21" i="1" l="1"/>
  <c r="N21" i="1"/>
  <c r="L21" i="1"/>
  <c r="M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<sst xmlns="http://schemas.openxmlformats.org/spreadsheetml/2006/main" count="48" uniqueCount="18">
  <si>
    <t>A1</t>
  </si>
  <si>
    <t>A2</t>
  </si>
  <si>
    <t>A3</t>
  </si>
  <si>
    <t>B1</t>
  </si>
  <si>
    <t>B2</t>
  </si>
  <si>
    <t>B3</t>
  </si>
  <si>
    <t>B4</t>
  </si>
  <si>
    <t>B5</t>
  </si>
  <si>
    <t>Cеверо-запад</t>
  </si>
  <si>
    <t>Наименьшая стоимость</t>
  </si>
  <si>
    <t>Стоимость</t>
  </si>
  <si>
    <t>Метод потенциалов</t>
  </si>
  <si>
    <t>m</t>
  </si>
  <si>
    <t>n</t>
  </si>
  <si>
    <t>Итерация I</t>
  </si>
  <si>
    <t>Потенциалы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</si>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</sst>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5" xfId="0" applyFill="1" applyBorder="1"/>
    <xf numFmtId="0" fontId="0" fillId="3" borderId="5" xfId="0" applyFill="1" applyBorder="1"/>
    <xf numFmtId="0" fontId="0" fillId="0" borderId="7" xfId="0" applyBorder="1"/>
    <xf numFmtId="0" fontId="0" fillId="2" borderId="8" xfId="0" applyFill="1" applyBorder="1"/>
    <xf numFmtId="0" fontId="0" fillId="3" borderId="8" xfId="0" applyFill="1" applyBorder="1"/>
    <xf numFmtId="0" fontId="0" fillId="3" borderId="9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3" borderId="14" xfId="0" applyFill="1" applyBorder="1"/>
    <xf numFmtId="0" fontId="0" fillId="4" borderId="15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topLeftCell="A8" workbookViewId="0">
      <selection activeCell="I37" sqref="I37"/>
    </sheetView>
  </sheetViews>
  <sheetFormatPr defaultRowHeight="15" x14ac:dyDescent="0.25"/>
  <sheetData>
    <row r="1" spans="1:18" ht="19.5" thickBot="1" x14ac:dyDescent="0.3">
      <c r="A1" s="1"/>
      <c r="B1" s="2" t="e" vm="1">
        <v>#VALUE!</v>
      </c>
      <c r="C1" s="2" t="e" vm="2">
        <v>#VALUE!</v>
      </c>
      <c r="D1" s="2" t="e" vm="3">
        <v>#VALUE!</v>
      </c>
      <c r="E1" s="2" t="e" vm="4">
        <v>#VALUE!</v>
      </c>
      <c r="F1" s="2" t="e" vm="5">
        <v>#VALUE!</v>
      </c>
      <c r="G1" s="2" t="e" vm="6">
        <v>#VALUE!</v>
      </c>
    </row>
    <row r="2" spans="1:18" ht="19.5" thickBot="1" x14ac:dyDescent="0.3">
      <c r="A2" s="3" t="e" vm="7">
        <v>#VALUE!</v>
      </c>
      <c r="B2" s="4">
        <v>9</v>
      </c>
      <c r="C2" s="4">
        <v>4</v>
      </c>
      <c r="D2" s="4">
        <v>5</v>
      </c>
      <c r="E2" s="4">
        <v>5</v>
      </c>
      <c r="F2" s="4">
        <v>3</v>
      </c>
      <c r="G2" s="4">
        <v>220</v>
      </c>
    </row>
    <row r="3" spans="1:18" ht="19.5" thickBot="1" x14ac:dyDescent="0.3">
      <c r="A3" s="3" t="e" vm="8">
        <v>#VALUE!</v>
      </c>
      <c r="B3" s="4">
        <v>5</v>
      </c>
      <c r="C3" s="4">
        <v>6</v>
      </c>
      <c r="D3" s="4">
        <v>11</v>
      </c>
      <c r="E3" s="4">
        <v>4</v>
      </c>
      <c r="F3" s="4">
        <v>8</v>
      </c>
      <c r="G3" s="4">
        <v>160</v>
      </c>
    </row>
    <row r="4" spans="1:18" ht="19.5" thickBot="1" x14ac:dyDescent="0.3">
      <c r="A4" s="3" t="e" vm="9">
        <v>#VALUE!</v>
      </c>
      <c r="B4" s="4">
        <v>2</v>
      </c>
      <c r="C4" s="4">
        <v>4</v>
      </c>
      <c r="D4" s="4">
        <v>3</v>
      </c>
      <c r="E4" s="4">
        <v>5</v>
      </c>
      <c r="F4" s="4">
        <v>2</v>
      </c>
      <c r="G4" s="4">
        <v>80</v>
      </c>
    </row>
    <row r="5" spans="1:18" ht="19.5" thickBot="1" x14ac:dyDescent="0.3">
      <c r="A5" s="3" t="e" vm="10">
        <v>#VALUE!</v>
      </c>
      <c r="B5" s="4">
        <v>120</v>
      </c>
      <c r="C5" s="4">
        <v>80</v>
      </c>
      <c r="D5" s="4">
        <v>60</v>
      </c>
      <c r="E5" s="4">
        <v>100</v>
      </c>
      <c r="F5" s="4">
        <v>100</v>
      </c>
      <c r="G5" s="4"/>
      <c r="H5">
        <f>SUM(B5:F5)</f>
        <v>460</v>
      </c>
    </row>
    <row r="6" spans="1:18" x14ac:dyDescent="0.25">
      <c r="G6">
        <f>SUM(G2:G4)</f>
        <v>460</v>
      </c>
    </row>
    <row r="8" spans="1:18" x14ac:dyDescent="0.25">
      <c r="A8" s="8" t="s">
        <v>8</v>
      </c>
      <c r="B8" s="8"/>
      <c r="C8" s="8"/>
      <c r="D8" s="8"/>
      <c r="E8" s="8"/>
      <c r="F8" s="8"/>
      <c r="G8" s="8"/>
      <c r="I8" s="8" t="s">
        <v>9</v>
      </c>
      <c r="J8" s="8"/>
      <c r="K8" s="8"/>
      <c r="L8" s="8"/>
      <c r="M8" s="8"/>
      <c r="N8" s="8"/>
      <c r="O8" s="8"/>
      <c r="Q8" t="s">
        <v>12</v>
      </c>
      <c r="R8" t="s">
        <v>13</v>
      </c>
    </row>
    <row r="9" spans="1:18" x14ac:dyDescent="0.25">
      <c r="A9" s="5"/>
      <c r="B9" s="5" t="s">
        <v>3</v>
      </c>
      <c r="C9" s="5" t="s">
        <v>4</v>
      </c>
      <c r="D9" s="5" t="s">
        <v>5</v>
      </c>
      <c r="E9" s="5" t="s">
        <v>6</v>
      </c>
      <c r="F9" s="5" t="s">
        <v>7</v>
      </c>
      <c r="G9" s="5"/>
      <c r="I9" s="5"/>
      <c r="J9" s="5" t="s">
        <v>3</v>
      </c>
      <c r="K9" s="5" t="s">
        <v>4</v>
      </c>
      <c r="L9" s="5" t="s">
        <v>5</v>
      </c>
      <c r="M9" s="5" t="s">
        <v>6</v>
      </c>
      <c r="N9" s="5" t="s">
        <v>7</v>
      </c>
      <c r="O9" s="5"/>
      <c r="Q9">
        <v>3</v>
      </c>
      <c r="R9">
        <v>5</v>
      </c>
    </row>
    <row r="10" spans="1:18" x14ac:dyDescent="0.25">
      <c r="A10" s="5" t="s">
        <v>0</v>
      </c>
      <c r="B10" s="5">
        <v>120</v>
      </c>
      <c r="C10" s="5">
        <v>80</v>
      </c>
      <c r="D10" s="5">
        <v>20</v>
      </c>
      <c r="E10" s="5"/>
      <c r="F10" s="5"/>
      <c r="G10" s="5">
        <v>220</v>
      </c>
      <c r="I10" s="5" t="s">
        <v>0</v>
      </c>
      <c r="J10" s="5">
        <v>0</v>
      </c>
      <c r="K10" s="5">
        <v>80</v>
      </c>
      <c r="L10" s="5">
        <v>40</v>
      </c>
      <c r="M10" s="5">
        <v>0</v>
      </c>
      <c r="N10" s="5">
        <v>100</v>
      </c>
      <c r="O10" s="5">
        <v>220</v>
      </c>
      <c r="Q10" s="10">
        <f>Q9+R9-1</f>
        <v>7</v>
      </c>
      <c r="R10" s="10">
        <f>COUNTIF(B19:F21,"&gt;0")</f>
        <v>7</v>
      </c>
    </row>
    <row r="11" spans="1:18" x14ac:dyDescent="0.25">
      <c r="A11" s="5" t="s">
        <v>1</v>
      </c>
      <c r="B11" s="5"/>
      <c r="C11" s="5"/>
      <c r="D11" s="5">
        <v>40</v>
      </c>
      <c r="E11" s="5">
        <v>100</v>
      </c>
      <c r="F11" s="5">
        <v>20</v>
      </c>
      <c r="G11" s="5">
        <v>160</v>
      </c>
      <c r="I11" s="5" t="s">
        <v>1</v>
      </c>
      <c r="J11" s="5">
        <v>40</v>
      </c>
      <c r="K11" s="5">
        <v>0</v>
      </c>
      <c r="L11" s="5">
        <v>20</v>
      </c>
      <c r="M11" s="5">
        <v>100</v>
      </c>
      <c r="N11" s="5">
        <v>0</v>
      </c>
      <c r="O11" s="5">
        <v>160</v>
      </c>
    </row>
    <row r="12" spans="1:18" x14ac:dyDescent="0.25">
      <c r="A12" s="5" t="s">
        <v>2</v>
      </c>
      <c r="B12" s="5"/>
      <c r="C12" s="5"/>
      <c r="D12" s="5"/>
      <c r="E12" s="5"/>
      <c r="F12" s="5">
        <v>80</v>
      </c>
      <c r="G12" s="5">
        <v>80</v>
      </c>
      <c r="I12" s="5" t="s">
        <v>2</v>
      </c>
      <c r="J12" s="5">
        <v>80</v>
      </c>
      <c r="K12" s="5">
        <v>0</v>
      </c>
      <c r="L12" s="5">
        <v>0</v>
      </c>
      <c r="M12" s="5">
        <v>0</v>
      </c>
      <c r="N12" s="5">
        <v>0</v>
      </c>
      <c r="O12" s="5">
        <v>80</v>
      </c>
    </row>
    <row r="13" spans="1:18" x14ac:dyDescent="0.25">
      <c r="A13" s="5"/>
      <c r="B13" s="5">
        <v>120</v>
      </c>
      <c r="C13" s="5">
        <v>80</v>
      </c>
      <c r="D13" s="5">
        <v>60</v>
      </c>
      <c r="E13" s="5">
        <v>100</v>
      </c>
      <c r="F13" s="5">
        <v>100</v>
      </c>
      <c r="G13" s="5"/>
      <c r="I13" s="5"/>
      <c r="J13" s="5">
        <v>120</v>
      </c>
      <c r="K13" s="5">
        <v>80</v>
      </c>
      <c r="L13" s="5">
        <v>60</v>
      </c>
      <c r="M13" s="5">
        <v>100</v>
      </c>
      <c r="N13" s="5">
        <v>100</v>
      </c>
      <c r="O13" s="5"/>
    </row>
    <row r="14" spans="1:18" x14ac:dyDescent="0.25">
      <c r="A14" s="9" t="s">
        <v>10</v>
      </c>
      <c r="B14" s="9"/>
      <c r="C14" s="9"/>
      <c r="D14" s="9"/>
      <c r="E14" s="9"/>
      <c r="F14" s="9"/>
      <c r="G14" s="5">
        <f>SUMPRODUCT(B10:F12,B2:F4)</f>
        <v>2660</v>
      </c>
      <c r="I14" s="9" t="s">
        <v>10</v>
      </c>
      <c r="J14" s="9"/>
      <c r="K14" s="9"/>
      <c r="L14" s="9"/>
      <c r="M14" s="9"/>
      <c r="N14" s="9"/>
      <c r="O14" s="5">
        <f>SUMPRODUCT(B2:F4,J10:N12)</f>
        <v>1800</v>
      </c>
    </row>
    <row r="17" spans="1:15" x14ac:dyDescent="0.25">
      <c r="A17" s="6" t="s">
        <v>11</v>
      </c>
      <c r="B17" s="6"/>
      <c r="C17" s="6"/>
      <c r="D17" s="6"/>
      <c r="E17" s="6"/>
      <c r="F17" s="6"/>
      <c r="G17" s="6"/>
      <c r="I17" s="7" t="s">
        <v>15</v>
      </c>
      <c r="J17" s="7"/>
      <c r="K17" s="7"/>
      <c r="L17" s="7"/>
      <c r="M17" s="7"/>
      <c r="N17" s="7"/>
    </row>
    <row r="18" spans="1:15" x14ac:dyDescent="0.25">
      <c r="A18" s="5"/>
      <c r="B18" s="5" t="s">
        <v>3</v>
      </c>
      <c r="C18" s="5" t="s">
        <v>4</v>
      </c>
      <c r="D18" s="5" t="s">
        <v>5</v>
      </c>
      <c r="E18" s="5" t="s">
        <v>6</v>
      </c>
      <c r="F18" s="5" t="s">
        <v>7</v>
      </c>
      <c r="G18" s="5"/>
      <c r="I18" s="5"/>
      <c r="J18" s="5">
        <f>J20-I20</f>
        <v>-1</v>
      </c>
      <c r="K18" s="5">
        <f>K19-I19</f>
        <v>4</v>
      </c>
      <c r="L18" s="5">
        <f>L19-I19</f>
        <v>5</v>
      </c>
      <c r="M18" s="5">
        <f>M20-I20</f>
        <v>-2</v>
      </c>
      <c r="N18" s="5">
        <f>N19-I19</f>
        <v>3</v>
      </c>
    </row>
    <row r="19" spans="1:15" ht="15.75" thickBot="1" x14ac:dyDescent="0.3">
      <c r="A19" s="5" t="s">
        <v>0</v>
      </c>
      <c r="B19" s="5">
        <v>0</v>
      </c>
      <c r="C19" s="5">
        <v>80</v>
      </c>
      <c r="D19" s="5">
        <v>40</v>
      </c>
      <c r="E19" s="5">
        <v>0</v>
      </c>
      <c r="F19" s="5">
        <v>100</v>
      </c>
      <c r="G19" s="5">
        <v>220</v>
      </c>
      <c r="I19" s="5">
        <v>0</v>
      </c>
      <c r="J19" s="18">
        <f>B2-(J$18+$I19)</f>
        <v>10</v>
      </c>
      <c r="K19" s="19">
        <f>C2</f>
        <v>4</v>
      </c>
      <c r="L19" s="19">
        <f>D2</f>
        <v>5</v>
      </c>
      <c r="M19" s="14">
        <f>E2-(M$18+$I19)</f>
        <v>7</v>
      </c>
      <c r="N19" s="13">
        <f>F2</f>
        <v>3</v>
      </c>
    </row>
    <row r="20" spans="1:15" x14ac:dyDescent="0.25">
      <c r="A20" s="5" t="s">
        <v>1</v>
      </c>
      <c r="B20" s="5">
        <v>40</v>
      </c>
      <c r="C20" s="5">
        <v>0</v>
      </c>
      <c r="D20" s="5">
        <v>20</v>
      </c>
      <c r="E20" s="5">
        <v>100</v>
      </c>
      <c r="F20" s="5">
        <v>0</v>
      </c>
      <c r="G20" s="5">
        <v>160</v>
      </c>
      <c r="I20" s="15">
        <f>L20-L18</f>
        <v>6</v>
      </c>
      <c r="J20" s="20">
        <f>B3</f>
        <v>5</v>
      </c>
      <c r="K20" s="21">
        <f>C3-(K$18+$I20)</f>
        <v>-4</v>
      </c>
      <c r="L20" s="22">
        <f>D3</f>
        <v>11</v>
      </c>
      <c r="M20" s="16">
        <f>E3</f>
        <v>4</v>
      </c>
      <c r="N20" s="14">
        <f>F3-(N$18+$I20)</f>
        <v>-1</v>
      </c>
    </row>
    <row r="21" spans="1:15" ht="15.75" thickBot="1" x14ac:dyDescent="0.3">
      <c r="A21" s="5" t="s">
        <v>2</v>
      </c>
      <c r="B21" s="5">
        <v>80</v>
      </c>
      <c r="C21" s="5">
        <v>0</v>
      </c>
      <c r="D21" s="5">
        <v>0</v>
      </c>
      <c r="E21" s="5">
        <v>0</v>
      </c>
      <c r="F21" s="5">
        <v>0</v>
      </c>
      <c r="G21" s="5">
        <v>80</v>
      </c>
      <c r="I21" s="15">
        <f>J21-J18</f>
        <v>3</v>
      </c>
      <c r="J21" s="23">
        <f>B4</f>
        <v>2</v>
      </c>
      <c r="K21" s="24">
        <f>C4-(K$18+$I21)</f>
        <v>-3</v>
      </c>
      <c r="L21" s="25">
        <f>D4-(L$18+$I21)</f>
        <v>-5</v>
      </c>
      <c r="M21" s="17">
        <f>E4-(M$18+$I21)</f>
        <v>4</v>
      </c>
      <c r="N21" s="14">
        <f>F4-(N$18+$I21)</f>
        <v>-4</v>
      </c>
    </row>
    <row r="22" spans="1:15" x14ac:dyDescent="0.25">
      <c r="A22" s="5"/>
      <c r="B22" s="5">
        <v>120</v>
      </c>
      <c r="C22" s="5">
        <v>80</v>
      </c>
      <c r="D22" s="5">
        <v>60</v>
      </c>
      <c r="E22" s="5">
        <v>100</v>
      </c>
      <c r="F22" s="5">
        <v>100</v>
      </c>
      <c r="G22" s="5"/>
      <c r="J22" t="s">
        <v>16</v>
      </c>
      <c r="L22" t="s">
        <v>17</v>
      </c>
    </row>
    <row r="23" spans="1:15" x14ac:dyDescent="0.25">
      <c r="A23" s="9" t="s">
        <v>10</v>
      </c>
      <c r="B23" s="9"/>
      <c r="C23" s="9"/>
      <c r="D23" s="9"/>
      <c r="E23" s="9"/>
      <c r="F23" s="9"/>
      <c r="G23" s="5">
        <f>SUMPRODUCT($B$2:$F$4,B19:F21)</f>
        <v>1800</v>
      </c>
      <c r="J23" t="s">
        <v>17</v>
      </c>
      <c r="L23" t="s">
        <v>16</v>
      </c>
    </row>
    <row r="25" spans="1:15" x14ac:dyDescent="0.25">
      <c r="A25" s="6" t="s">
        <v>14</v>
      </c>
      <c r="B25" s="6"/>
      <c r="C25" s="6"/>
      <c r="D25" s="6"/>
      <c r="E25" s="6"/>
      <c r="F25" s="6"/>
      <c r="G25" s="6"/>
      <c r="I25" s="7" t="s">
        <v>15</v>
      </c>
      <c r="J25" s="7"/>
      <c r="K25" s="7"/>
      <c r="L25" s="7"/>
      <c r="M25" s="7"/>
      <c r="N25" s="7"/>
    </row>
    <row r="26" spans="1:15" x14ac:dyDescent="0.25">
      <c r="A26" s="5"/>
      <c r="B26" s="5" t="s">
        <v>3</v>
      </c>
      <c r="C26" s="5" t="s">
        <v>4</v>
      </c>
      <c r="D26" s="5" t="s">
        <v>5</v>
      </c>
      <c r="E26" s="5" t="s">
        <v>6</v>
      </c>
      <c r="F26" s="5" t="s">
        <v>7</v>
      </c>
      <c r="G26" s="5"/>
      <c r="I26" s="5"/>
      <c r="J26" s="5">
        <f>J29-I29</f>
        <v>4</v>
      </c>
      <c r="K26" s="5">
        <f>K27-I27</f>
        <v>4</v>
      </c>
      <c r="L26" s="5">
        <f>L27-I27</f>
        <v>5</v>
      </c>
      <c r="M26" s="5">
        <f>M28-I28</f>
        <v>3</v>
      </c>
      <c r="N26" s="5">
        <f>N27-I27</f>
        <v>3</v>
      </c>
      <c r="O26" s="11"/>
    </row>
    <row r="27" spans="1:15" x14ac:dyDescent="0.25">
      <c r="A27" s="5" t="s">
        <v>0</v>
      </c>
      <c r="B27" s="5">
        <v>0</v>
      </c>
      <c r="C27" s="5">
        <v>80</v>
      </c>
      <c r="D27" s="5">
        <v>40</v>
      </c>
      <c r="E27" s="5">
        <v>0</v>
      </c>
      <c r="F27" s="5">
        <v>100</v>
      </c>
      <c r="G27" s="5">
        <v>220</v>
      </c>
      <c r="I27" s="5">
        <v>0</v>
      </c>
      <c r="J27" s="14">
        <f>B2-(J$26+$I27)</f>
        <v>5</v>
      </c>
      <c r="K27" s="13">
        <f t="shared" ref="K27:M27" si="0">C2</f>
        <v>4</v>
      </c>
      <c r="L27" s="13">
        <f t="shared" si="0"/>
        <v>5</v>
      </c>
      <c r="M27" s="14">
        <f>E2-(M$26+$I27)</f>
        <v>2</v>
      </c>
      <c r="N27" s="13">
        <f>F2</f>
        <v>3</v>
      </c>
      <c r="O27" s="11"/>
    </row>
    <row r="28" spans="1:15" x14ac:dyDescent="0.25">
      <c r="A28" s="5" t="s">
        <v>1</v>
      </c>
      <c r="B28" s="5">
        <v>60</v>
      </c>
      <c r="C28" s="5">
        <v>0</v>
      </c>
      <c r="D28" s="5">
        <v>0</v>
      </c>
      <c r="E28" s="5">
        <v>100</v>
      </c>
      <c r="F28" s="5">
        <v>0</v>
      </c>
      <c r="G28" s="5">
        <v>160</v>
      </c>
      <c r="I28" s="5">
        <f>J28-J26</f>
        <v>1</v>
      </c>
      <c r="J28" s="13">
        <f t="shared" ref="J28:J29" si="1">B3</f>
        <v>5</v>
      </c>
      <c r="K28" s="14">
        <f>C3-(K$26+$I28)</f>
        <v>1</v>
      </c>
      <c r="L28" s="14">
        <f>D3-(L$26+$I28)</f>
        <v>5</v>
      </c>
      <c r="M28" s="13">
        <f t="shared" ref="M28:N29" si="2">E3</f>
        <v>4</v>
      </c>
      <c r="N28" s="14">
        <f>F3-(N$26+$I28)</f>
        <v>4</v>
      </c>
      <c r="O28" s="11"/>
    </row>
    <row r="29" spans="1:15" x14ac:dyDescent="0.25">
      <c r="A29" s="5" t="s">
        <v>2</v>
      </c>
      <c r="B29" s="5">
        <v>60</v>
      </c>
      <c r="C29" s="5">
        <v>0</v>
      </c>
      <c r="D29" s="5">
        <v>20</v>
      </c>
      <c r="E29" s="5">
        <v>0</v>
      </c>
      <c r="F29" s="5">
        <v>0</v>
      </c>
      <c r="G29" s="5">
        <v>80</v>
      </c>
      <c r="I29" s="5">
        <f>L29-L26</f>
        <v>-2</v>
      </c>
      <c r="J29" s="13">
        <f t="shared" si="1"/>
        <v>2</v>
      </c>
      <c r="K29" s="14">
        <f>C4-(K$26+$I29)</f>
        <v>2</v>
      </c>
      <c r="L29" s="13">
        <f t="shared" ref="L28:L29" si="3">D4</f>
        <v>3</v>
      </c>
      <c r="M29" s="14">
        <f>E4-(M$26+$I29)</f>
        <v>4</v>
      </c>
      <c r="N29" s="14">
        <f>F4-(N$26+$I29)</f>
        <v>1</v>
      </c>
      <c r="O29" s="11"/>
    </row>
    <row r="30" spans="1:15" x14ac:dyDescent="0.25">
      <c r="A30" s="5"/>
      <c r="B30" s="5">
        <v>120</v>
      </c>
      <c r="C30" s="5">
        <v>80</v>
      </c>
      <c r="D30" s="5">
        <v>60</v>
      </c>
      <c r="E30" s="5">
        <v>100</v>
      </c>
      <c r="F30" s="5">
        <v>100</v>
      </c>
      <c r="G30" s="5"/>
      <c r="I30" s="11"/>
      <c r="J30" s="11"/>
      <c r="K30" s="11"/>
      <c r="L30" s="11"/>
      <c r="M30" s="11"/>
      <c r="N30" s="11"/>
      <c r="O30" s="11"/>
    </row>
    <row r="31" spans="1:15" x14ac:dyDescent="0.25">
      <c r="A31" s="9" t="s">
        <v>10</v>
      </c>
      <c r="B31" s="9"/>
      <c r="C31" s="9"/>
      <c r="D31" s="9"/>
      <c r="E31" s="9"/>
      <c r="F31" s="9"/>
      <c r="G31" s="5">
        <f>SUMPRODUCT($B$2:$F$4,B27:F29)</f>
        <v>1700</v>
      </c>
      <c r="I31" s="12"/>
      <c r="J31" s="12"/>
      <c r="K31" s="12"/>
      <c r="L31" s="12"/>
      <c r="M31" s="12"/>
      <c r="N31" s="12"/>
      <c r="O31" s="11"/>
    </row>
  </sheetData>
  <mergeCells count="6">
    <mergeCell ref="A25:G25"/>
    <mergeCell ref="I17:N17"/>
    <mergeCell ref="I25:N25"/>
    <mergeCell ref="A8:G8"/>
    <mergeCell ref="I8:O8"/>
    <mergeCell ref="A17:G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Ворошилов</dc:creator>
  <cp:lastModifiedBy>Даниил Ворошилов</cp:lastModifiedBy>
  <dcterms:created xsi:type="dcterms:W3CDTF">2015-06-05T18:19:34Z</dcterms:created>
  <dcterms:modified xsi:type="dcterms:W3CDTF">2025-10-18T09:26:24Z</dcterms:modified>
</cp:coreProperties>
</file>